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1820" windowHeight="14620" tabRatio="500" firstSheet="2" activeTab="7" autoFilterDateGrouping="1"/>
  </bookViews>
  <sheets>
    <sheet xmlns:r="http://schemas.openxmlformats.org/officeDocument/2006/relationships" name="0_Start_Here" sheetId="1" state="visible" r:id="rId1"/>
    <sheet xmlns:r="http://schemas.openxmlformats.org/officeDocument/2006/relationships" name="1_Your_Details" sheetId="2" state="visible" r:id="rId2"/>
    <sheet xmlns:r="http://schemas.openxmlformats.org/officeDocument/2006/relationships" name="2_Must_haves" sheetId="3" state="visible" r:id="rId3"/>
    <sheet xmlns:r="http://schemas.openxmlformats.org/officeDocument/2006/relationships" name="3_Levels" sheetId="4" state="visible" r:id="rId4"/>
    <sheet xmlns:r="http://schemas.openxmlformats.org/officeDocument/2006/relationships" name="4_Integration" sheetId="5" state="visible" r:id="rId5"/>
    <sheet xmlns:r="http://schemas.openxmlformats.org/officeDocument/2006/relationships" name="5_Metrics" sheetId="6" state="visible" r:id="rId6"/>
    <sheet xmlns:r="http://schemas.openxmlformats.org/officeDocument/2006/relationships" name="6_Hard_cases" sheetId="7" state="visible" r:id="rId7"/>
    <sheet xmlns:r="http://schemas.openxmlformats.org/officeDocument/2006/relationships" name="7_Declaration" sheetId="8" state="visible" r:id="rId8"/>
  </sheets>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FFFFFF"/>
      <sz val="13"/>
    </font>
    <font>
      <name val="Arial"/>
      <charset val="1"/>
      <color rgb="FFFFFFFF"/>
      <sz val="10"/>
    </font>
    <font>
      <name val="Arial"/>
      <charset val="1"/>
      <b val="1"/>
      <color rgb="FFFFFFFF"/>
      <sz val="10"/>
    </font>
    <font>
      <name val="Arial"/>
      <charset val="1"/>
      <color rgb="FF14212B"/>
      <sz val="10"/>
    </font>
    <font>
      <name val="Arial"/>
      <charset val="1"/>
      <b val="1"/>
      <color rgb="FF14212B"/>
      <sz val="10"/>
    </font>
    <font>
      <name val="Arial"/>
      <charset val="1"/>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style="thin">
        <color rgb="FFD5DDE3"/>
      </bottom>
      <diagonal/>
    </border>
    <border>
      <left/>
      <right style="thin">
        <color rgb="FFD5DDE3"/>
      </right>
      <top style="thin">
        <color rgb="FFD5DDE3"/>
      </top>
      <bottom style="thin">
        <color rgb="FFD5DDE3"/>
      </bottom>
      <diagonal/>
    </border>
    <border>
      <left/>
      <right/>
      <top style="thin">
        <color rgb="FFD5DDE3"/>
      </top>
      <bottom/>
      <diagonal/>
    </border>
    <border>
      <left/>
      <right style="thin">
        <color rgb="FFD5DDE3"/>
      </right>
      <top style="thin">
        <color rgb="FFD5DDE3"/>
      </top>
      <bottom/>
      <diagonal/>
    </border>
  </borders>
  <cellStyleXfs count="1">
    <xf numFmtId="0" fontId="0" fillId="0" borderId="0"/>
  </cellStyleXfs>
  <cellXfs count="15">
    <xf numFmtId="0" fontId="0" fillId="0" borderId="0" pivotButton="0" quotePrefix="0" xfId="0"/>
    <xf numFmtId="0" fontId="3" fillId="3" borderId="2" applyAlignment="1" pivotButton="0" quotePrefix="0" xfId="0">
      <alignment vertical="top" wrapText="1"/>
    </xf>
    <xf numFmtId="0" fontId="4" fillId="0" borderId="2" applyAlignment="1" pivotButton="0" quotePrefix="0" xfId="0">
      <alignment vertical="top" wrapText="1"/>
    </xf>
    <xf numFmtId="0" fontId="5" fillId="4" borderId="2" applyAlignment="1" pivotButton="0" quotePrefix="0" xfId="0">
      <alignment vertical="top" wrapText="1"/>
    </xf>
    <xf numFmtId="0" fontId="3" fillId="5" borderId="2" applyAlignment="1" pivotButton="0" quotePrefix="0" xfId="0">
      <alignment vertical="top" wrapText="1"/>
    </xf>
    <xf numFmtId="0" fontId="4" fillId="5" borderId="2" applyAlignment="1" pivotButton="0" quotePrefix="0" xfId="0">
      <alignment vertical="top" wrapText="1"/>
    </xf>
    <xf numFmtId="0" fontId="5" fillId="6" borderId="2" applyAlignment="1" pivotButton="0" quotePrefix="0" xfId="0">
      <alignment vertical="top" wrapText="1"/>
    </xf>
    <xf numFmtId="0" fontId="4" fillId="7" borderId="2" applyAlignment="1" pivotButton="0" quotePrefix="0" xfId="0">
      <alignment vertical="top" wrapText="1"/>
    </xf>
    <xf numFmtId="0" fontId="6" fillId="4" borderId="2" applyAlignment="1" pivotButton="0" quotePrefix="0" xfId="0">
      <alignment vertical="top" wrapText="1"/>
    </xf>
    <xf numFmtId="0" fontId="1" fillId="2" borderId="1" applyAlignment="1" pivotButton="0" quotePrefix="0" xfId="0">
      <alignment vertical="top" wrapText="1"/>
    </xf>
    <xf numFmtId="0" fontId="0" fillId="0" borderId="3" pivotButton="0" quotePrefix="0" xfId="0"/>
    <xf numFmtId="0" fontId="4" fillId="7" borderId="1" applyAlignment="1" pivotButton="0" quotePrefix="0" xfId="0">
      <alignment vertical="top" wrapText="1"/>
    </xf>
    <xf numFmtId="0" fontId="2" fillId="3" borderId="1" applyAlignment="1" pivotButton="0" quotePrefix="0" xfId="0">
      <alignment vertical="top" wrapText="1"/>
    </xf>
    <xf numFmtId="0" fontId="5" fillId="6" borderId="2" applyAlignment="1" pivotButton="0" quotePrefix="0" xfId="0">
      <alignment vertical="top" wrapText="1"/>
    </xf>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zoomScaleNormal="100" workbookViewId="0">
      <selection activeCell="A1" sqref="A1:C1"/>
    </sheetView>
  </sheetViews>
  <sheetFormatPr baseColWidth="8" defaultColWidth="8.6328125" defaultRowHeight="14.5"/>
  <cols>
    <col width="6" customWidth="1" min="1" max="1"/>
    <col width="96" customWidth="1" min="2" max="2"/>
    <col width="16" customWidth="1" min="3" max="3"/>
  </cols>
  <sheetData>
    <row r="1" ht="24" customHeight="1">
      <c r="A1" s="9" t="inlineStr">
        <is>
          <t>IncuBrix Engineering Assessment 4 | Distribution: Long-Tail Destination Network | Submission Form</t>
        </is>
      </c>
      <c r="B1" s="10" t="n"/>
      <c r="C1" s="10" t="n"/>
    </row>
    <row r="2" ht="31.5" customHeight="1">
      <c r="A2" s="12" t="inlineStr">
        <is>
          <t>This form is how you show us what you built. Fill it as you work. We verify every claim, so be precise.</t>
        </is>
      </c>
      <c r="B2" s="10" t="n"/>
      <c r="C2" s="10" t="n"/>
    </row>
    <row r="4" ht="19.5" customHeight="1">
      <c r="A4" s="1" t="n">
        <v>1</v>
      </c>
      <c r="B4" s="2" t="inlineStr">
        <is>
          <t>Read the assessment brief (PDF) first.</t>
        </is>
      </c>
    </row>
    <row r="5" ht="19.5" customHeight="1">
      <c r="A5" s="1" t="n">
        <v>2</v>
      </c>
      <c r="B5" s="2" t="inlineStr">
        <is>
          <t>1_Your_Details: your contact details and all links.</t>
        </is>
      </c>
    </row>
    <row r="6" ht="19.5" customHeight="1">
      <c r="A6" s="1" t="n">
        <v>3</v>
      </c>
      <c r="B6" s="2" t="inlineStr">
        <is>
          <t>2_Must_haves: mark each must-have Yes or No with evidence. Every one must pass to be selected.</t>
        </is>
      </c>
    </row>
    <row r="7" ht="19.5" customHeight="1">
      <c r="A7" s="1" t="n">
        <v>4</v>
      </c>
      <c r="B7" s="2" t="inlineStr">
        <is>
          <t>3_Levels: mark each item Yes / Partial / No with evidence. The level you reached is calculated for you.</t>
        </is>
      </c>
    </row>
    <row r="8" ht="19.5" customHeight="1">
      <c r="A8" s="1" t="n">
        <v>5</v>
      </c>
      <c r="B8" s="2" t="inlineStr">
        <is>
          <t>4_Integration: mark each Integration Standard point with evidence.</t>
        </is>
      </c>
    </row>
    <row r="9" ht="19.5" customHeight="1">
      <c r="A9" s="1" t="n">
        <v>6</v>
      </c>
      <c r="B9" s="2" t="inlineStr">
        <is>
          <t>5_Metrics: enter your measured numbers.  6_Hard_cases: say how your system handles each situation.</t>
        </is>
      </c>
    </row>
    <row r="10" ht="19.5" customHeight="1">
      <c r="A10" s="1" t="n">
        <v>7</v>
      </c>
      <c r="B10" s="2" t="inlineStr">
        <is>
          <t>7_Declaration: answer every statement and sign.</t>
        </is>
      </c>
    </row>
    <row r="11" ht="19.5" customHeight="1">
      <c r="A11" s="1" t="n">
        <v>8</v>
      </c>
      <c r="B11" s="2" t="inlineStr">
        <is>
          <t>Save as Assessment4_YourName.xlsx and attach it to your reply to the invitation email before the deadline.</t>
        </is>
      </c>
    </row>
    <row r="13" ht="15" customHeight="1">
      <c r="B13" s="3" t="inlineStr">
        <is>
          <t>Colour key: YELLOW = you fill in.  GREEN = calculated automatically.  GREY = instructions or example.</t>
        </is>
      </c>
    </row>
    <row r="15" ht="15" customHeight="1">
      <c r="B15" s="4" t="inlineStr">
        <is>
          <t>Your self-check (updates as you fill the form)</t>
        </is>
      </c>
      <c r="C15" s="5" t="n"/>
    </row>
    <row r="16" ht="15" customHeight="1">
      <c r="B16" s="3" t="inlineStr">
        <is>
          <t>Must-haves marked Yes</t>
        </is>
      </c>
      <c r="C16" s="13">
        <f>COUNTIF('2_Must_haves'!C6:C14,"Yes")&amp;" of 9"</f>
        <v/>
      </c>
    </row>
    <row r="17" ht="15" customHeight="1">
      <c r="B17" s="3" t="inlineStr">
        <is>
          <t>Level reached</t>
        </is>
      </c>
      <c r="C17" s="13">
        <f>'3_Levels'!C18</f>
        <v/>
      </c>
    </row>
    <row r="18" ht="15" customHeight="1">
      <c r="B18" s="3" t="inlineStr">
        <is>
          <t>Level marks claimed (40)</t>
        </is>
      </c>
      <c r="C18" s="13">
        <f>'3_Levels'!C19</f>
        <v/>
      </c>
    </row>
    <row r="19" ht="15" customHeight="1">
      <c r="B19" s="3" t="inlineStr">
        <is>
          <t>Integration marks claimed (20)</t>
        </is>
      </c>
      <c r="C19" s="13">
        <f>'4_Integration'!C15</f>
        <v/>
      </c>
    </row>
    <row r="20" ht="15" customHeight="1">
      <c r="B20" s="3" t="inlineStr">
        <is>
          <t>Self-assessed marks before our checks (60)</t>
        </is>
      </c>
      <c r="C20" s="13">
        <f>'3_Levels'!C19+'4_Integration'!C15</f>
        <v/>
      </c>
    </row>
    <row r="22" ht="43.5" customHeight="1">
      <c r="B22" s="11"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0" t="n"/>
    </row>
  </sheetData>
  <mergeCells count="3">
    <mergeCell ref="A1:C1"/>
    <mergeCell ref="B22:C22"/>
    <mergeCell ref="A2:C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18"/>
  <sheetViews>
    <sheetView zoomScaleNormal="100" workbookViewId="0">
      <selection activeCell="B12" sqref="B12"/>
    </sheetView>
  </sheetViews>
  <sheetFormatPr baseColWidth="8" defaultColWidth="8.6328125" defaultRowHeight="14.5"/>
  <cols>
    <col width="34" customWidth="1" min="1" max="1"/>
    <col width="70" customWidth="1" min="2" max="2"/>
  </cols>
  <sheetData>
    <row r="1" ht="24" customHeight="1">
      <c r="A1" s="9" t="inlineStr">
        <is>
          <t>IncuBrix Assessment 4 | Submission Form | Distribution: Long-Tail Destination Network</t>
        </is>
      </c>
      <c r="B1" s="10" t="n"/>
    </row>
    <row r="2" ht="31.5" customHeight="1">
      <c r="A2" s="12" t="inlineStr">
        <is>
          <t>Fill every YELLOW cell. Put links to evidence (repo path, output file, log, demo-video timestamp or URL) next to every claim. Save as Assessment4_&lt;YourName&gt;.xlsx and attach it to your reply email.</t>
        </is>
      </c>
      <c r="B2" s="10" t="n"/>
    </row>
    <row r="4" ht="19.5" customHeight="1">
      <c r="A4" s="3" t="inlineStr">
        <is>
          <t>Full name</t>
        </is>
      </c>
      <c r="B4" s="7" t="inlineStr">
        <is>
          <t>Sudharshanan D</t>
        </is>
      </c>
    </row>
    <row r="5" ht="19.5" customHeight="1">
      <c r="A5" s="3" t="inlineStr">
        <is>
          <t>Email</t>
        </is>
      </c>
      <c r="B5" s="7" t="inlineStr">
        <is>
          <t>sudharsandevaraj1219@gmail.com</t>
        </is>
      </c>
    </row>
    <row r="6" ht="19.5" customHeight="1">
      <c r="A6" s="3" t="inlineStr">
        <is>
          <t>Phone</t>
        </is>
      </c>
      <c r="B6" s="7" t="n">
        <v>9025078201</v>
      </c>
    </row>
    <row r="7" ht="19.5" customHeight="1">
      <c r="A7" s="3" t="inlineStr">
        <is>
          <t>College and degree</t>
        </is>
      </c>
      <c r="B7" s="7" t="inlineStr">
        <is>
          <t>B.Tech Information Technology</t>
        </is>
      </c>
    </row>
    <row r="8" ht="19.5" customHeight="1">
      <c r="A8" s="3" t="inlineStr">
        <is>
          <t>Graduation year</t>
        </is>
      </c>
      <c r="B8" s="7" t="n">
        <v>2027</v>
      </c>
    </row>
    <row r="9" ht="19.5" customHeight="1">
      <c r="A9" s="3" t="inlineStr">
        <is>
          <t>Live demo URL</t>
        </is>
      </c>
      <c r="B9" s="7" t="inlineStr">
        <is>
          <t>http://localhost:3000 (Local / Docker Compose Startup)</t>
        </is>
      </c>
    </row>
    <row r="10" ht="19.5" customHeight="1">
      <c r="A10" s="3" t="inlineStr">
        <is>
          <t>Live demo access token or login (if protected)</t>
        </is>
      </c>
      <c r="B10" s="7" t="inlineStr">
        <is>
          <t>None (Local Docker / Mock Sandboxes)</t>
        </is>
      </c>
    </row>
    <row r="11" ht="19.5" customHeight="1">
      <c r="A11" s="3" t="inlineStr">
        <is>
          <t>Cold-start wait time (if any)</t>
        </is>
      </c>
      <c r="B11" s="7" t="inlineStr">
        <is>
          <t>None (Instant startup &lt; 2s)</t>
        </is>
      </c>
    </row>
    <row r="12" ht="19.5" customHeight="1">
      <c r="A12" s="3" t="inlineStr">
        <is>
          <t>Repository URL (private, reviewer invited)</t>
        </is>
      </c>
      <c r="B12" s="7" t="inlineStr">
        <is>
          <t>https://github.com/sudharcruz/incubrix-distribution-service</t>
        </is>
      </c>
    </row>
    <row r="13" ht="19.5" customHeight="1">
      <c r="A13" s="3" t="inlineStr">
        <is>
          <t>Demo video URL (max 8 min, unedited)</t>
        </is>
      </c>
      <c r="B13" s="7" t="inlineStr">
        <is>
          <t>Demo Video (Unedited screen recording)</t>
        </is>
      </c>
    </row>
    <row r="14" ht="19.5" customHeight="1">
      <c r="A14" s="3" t="inlineStr">
        <is>
          <t>REPORT.md link</t>
        </is>
      </c>
      <c r="B14" s="7" t="inlineStr">
        <is>
          <t>REPORT.md</t>
        </is>
      </c>
    </row>
    <row r="15" ht="19.5" customHeight="1">
      <c r="A15" s="3" t="inlineStr">
        <is>
          <t>Compute used (laptop / cloud / GPU, with specs)</t>
        </is>
      </c>
      <c r="B15" s="7" t="inlineStr">
        <is>
          <t>Laptop: Windows 11, Node.js 22.12.0, Docker Desktop</t>
        </is>
      </c>
    </row>
    <row r="16" ht="19.5" customHeight="1">
      <c r="A16" s="3" t="inlineStr">
        <is>
          <t>Paid services used and total cost</t>
        </is>
      </c>
      <c r="B16" s="7" t="inlineStr">
        <is>
          <t>.00 (Local Docker containers &amp; mock sandboxes)</t>
        </is>
      </c>
    </row>
    <row r="17" ht="19.5" customHeight="1">
      <c r="A17" s="3" t="inlineStr">
        <is>
          <t>AI coding tools used (details in AI_USE.md)</t>
        </is>
      </c>
      <c r="B17" s="7" t="inlineStr">
        <is>
          <t>Antigravity AI Pair Programmer - detailed in AI_USE.md</t>
        </is>
      </c>
    </row>
    <row r="18" ht="19.5" customHeight="1">
      <c r="A18" s="3" t="inlineStr">
        <is>
          <t>Approximate hours spent</t>
        </is>
      </c>
      <c r="B18" s="7" t="n">
        <v>28</v>
      </c>
    </row>
  </sheetData>
  <mergeCells count="2">
    <mergeCell ref="A2:B2"/>
    <mergeCell ref="A1:B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14"/>
  <sheetViews>
    <sheetView zoomScaleNormal="100" workbookViewId="0">
      <selection activeCell="A1" sqref="A1:E1"/>
    </sheetView>
  </sheetViews>
  <sheetFormatPr baseColWidth="8" defaultColWidth="8.6328125" defaultRowHeight="14.5"/>
  <cols>
    <col width="5" customWidth="1" min="1" max="1"/>
    <col width="60" customWidth="1" min="2" max="2"/>
    <col width="10" customWidth="1" min="3" max="3"/>
    <col width="50" customWidth="1" min="4" max="4"/>
    <col width="36" customWidth="1" min="5" max="5"/>
  </cols>
  <sheetData>
    <row r="1" ht="24" customHeight="1">
      <c r="A1" s="9" t="inlineStr">
        <is>
          <t>Must-haves - every one must pass</t>
        </is>
      </c>
      <c r="B1" s="10" t="n"/>
      <c r="C1" s="10" t="n"/>
      <c r="D1" s="10" t="n"/>
      <c r="E1" s="10" t="n"/>
    </row>
    <row r="2" ht="31.5" customHeight="1">
      <c r="A2" s="12" t="inlineStr">
        <is>
          <t>Mark Met = Yes only if it fully works. Give links that let us check it in minutes.</t>
        </is>
      </c>
      <c r="B2" s="10" t="n"/>
      <c r="C2" s="10" t="n"/>
      <c r="D2" s="10" t="n"/>
      <c r="E2" s="10" t="n"/>
    </row>
    <row r="4" ht="30" customHeight="1">
      <c r="A4" s="4" t="inlineStr">
        <is>
          <t>#</t>
        </is>
      </c>
      <c r="B4" s="4" t="inlineStr">
        <is>
          <t>Must-have</t>
        </is>
      </c>
      <c r="C4" s="4" t="inlineStr">
        <is>
          <t>Met?</t>
        </is>
      </c>
      <c r="D4" s="4" t="inlineStr">
        <is>
          <t>Evidence links (files, logs, tests, video timestamp)</t>
        </is>
      </c>
      <c r="E4" s="4" t="inlineStr">
        <is>
          <t>Notes / limits</t>
        </is>
      </c>
    </row>
    <row r="5" ht="23.9" customHeight="1">
      <c r="A5" s="8" t="inlineStr">
        <is>
          <t>Ex.</t>
        </is>
      </c>
      <c r="B5" s="8" t="inlineStr">
        <is>
          <t>Example row - shows the expected format (do not edit)</t>
        </is>
      </c>
      <c r="C5" s="8" t="inlineStr">
        <is>
          <t>Yes</t>
        </is>
      </c>
      <c r="D5" s="8" t="inlineStr">
        <is>
          <t>repo/tests/test_length.py ; outputs/run_07/manifest.json ; demo video 02:15</t>
        </is>
      </c>
      <c r="E5" s="8" t="inlineStr">
        <is>
          <t>Fails above 290 s - see REPORT.md section 4</t>
        </is>
      </c>
    </row>
    <row r="6" ht="42" customHeight="1">
      <c r="A6" s="2" t="n">
        <v>1</v>
      </c>
      <c r="B6" s="2" t="inlineStr">
        <is>
          <t>Exact connector contract. Every connector implements the methods, manifest and error codes in Appendix A.
We verify: Our contract test suite runs against your service.</t>
        </is>
      </c>
      <c r="C6" s="7" t="inlineStr">
        <is>
          <t>Yes</t>
        </is>
      </c>
      <c r="D6" s="7" t="inlineStr">
        <is>
          <t>src/types/contract.ts ; src/routes/connector.v1.ts ; tests/contract/connectors.test.ts</t>
        </is>
      </c>
      <c r="E6" s="7" t="inlineStr">
        <is>
          <t>All 7 methods and error codes implemented per Appendix A</t>
        </is>
      </c>
    </row>
    <row r="7" ht="97.5" customHeight="1">
      <c r="A7" s="2" t="n">
        <v>2</v>
      </c>
      <c r="B7" s="2"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7" t="inlineStr">
        <is>
          <t>Yes</t>
        </is>
      </c>
      <c r="D7" s="7" t="inlineStr">
        <is>
          <t>src/connectors/ ; data/certification/*_evidence.json ; npm run test:certification</t>
        </is>
      </c>
      <c r="E7" s="7" t="inlineStr">
        <is>
          <t>Discourse, Lemmy, Dev.to, Ghost, Webhook HMAC, and Assisted certified</t>
        </is>
      </c>
    </row>
    <row r="8" ht="42" customHeight="1">
      <c r="A8" s="2" t="n">
        <v>3</v>
      </c>
      <c r="B8" s="2" t="inlineStr">
        <is>
          <t>Configuration, not code. Adding another forum, community or site of a supported type is one catalogue row.
We verify: We add a new instance during review.</t>
        </is>
      </c>
      <c r="C8" s="7" t="inlineStr">
        <is>
          <t>Yes</t>
        </is>
      </c>
      <c r="D8" s="7" t="inlineStr">
        <is>
          <t>src/catalogue/store.ts ; src/routes/api.v1.ts ; tests/e2e/api.test.ts</t>
        </is>
      </c>
      <c r="E8" s="7" t="inlineStr">
        <is>
          <t>New destination added via single JSON/row without code changes</t>
        </is>
      </c>
    </row>
    <row r="9" ht="69.75" customHeight="1">
      <c r="A9" s="2" t="n">
        <v>4</v>
      </c>
      <c r="B9" s="2"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7" t="inlineStr">
        <is>
          <t>Yes</t>
        </is>
      </c>
      <c r="D9" s="7" t="inlineStr">
        <is>
          <t>src/rules/engine.ts ; tests/unit/rules.test.ts</t>
        </is>
      </c>
      <c r="E9" s="7" t="inlineStr">
        <is>
          <t>Checks caps, promo bans, link policy, and AI disclosure</t>
        </is>
      </c>
    </row>
    <row r="10" ht="84" customHeight="1">
      <c r="A10" s="2" t="n">
        <v>5</v>
      </c>
      <c r="B10" s="2"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7" t="inlineStr">
        <is>
          <t>Yes</t>
        </is>
      </c>
      <c r="D10" s="7" t="inlineStr">
        <is>
          <t>src/cleanup/reaper.ts ; tests/unit/reaper.test.ts ; POST /api/v1/cleanup/purge</t>
        </is>
      </c>
      <c r="E10" s="7" t="inlineStr">
        <is>
          <t>All test posts tracked with 10-min TTL and auto-deleted; instant purge API</t>
        </is>
      </c>
    </row>
    <row r="11" ht="42" customHeight="1">
      <c r="A11" s="2" t="n">
        <v>6</v>
      </c>
      <c r="B11" s="2" t="inlineStr">
        <is>
          <t>Safe retries. The same idempotency key never creates a second post, even after a timeout.
We verify: We force a timeout and retry.</t>
        </is>
      </c>
      <c r="C11" s="7" t="inlineStr">
        <is>
          <t>Yes</t>
        </is>
      </c>
      <c r="D11" s="7" t="inlineStr">
        <is>
          <t>src/middleware/idempotency.ts ; tests/unit/idempotency.test.ts</t>
        </is>
      </c>
      <c r="E11" s="7" t="inlineStr">
        <is>
          <t>Idempotency-Key header replayed without duplicate posts; in-flight lock</t>
        </is>
      </c>
    </row>
    <row r="12" ht="69.75" customHeight="1">
      <c r="A12" s="2" t="n">
        <v>7</v>
      </c>
      <c r="B12" s="2" t="inlineStr">
        <is>
          <t>Secrets protected and simulation mode. Tokens never appear in logs or the repository; a simulation mode with mock platforms lets everything run with no real accounts.
We verify: We search logs and the repository; we run in simulation mode.</t>
        </is>
      </c>
      <c r="C12" s="7" t="inlineStr">
        <is>
          <t>Yes</t>
        </is>
      </c>
      <c r="D12" s="7" t="inlineStr">
        <is>
          <t>src/utils/logger.ts ; .env.example ; SIMULATION_MODE=true</t>
        </is>
      </c>
      <c r="E12" s="7" t="inlineStr">
        <is>
          <t>Secrets redacted [REDACTED_SECRET]; simulation mode runs without external keys</t>
        </is>
      </c>
    </row>
    <row r="13" ht="55.5" customHeight="1">
      <c r="A13" s="2" t="n">
        <v>8</v>
      </c>
      <c r="B13" s="2" t="inlineStr">
        <is>
          <t>Local test instances. docker compose up starts your service plus local Lemmy and Ghost instances (and mock servers for the rest) so we can run real posts end to end.
We verify: We run your compose file on a clean machine.</t>
        </is>
      </c>
      <c r="C13" s="7" t="inlineStr">
        <is>
          <t>Yes</t>
        </is>
      </c>
      <c r="D13" s="7" t="inlineStr">
        <is>
          <t>docker-compose.yml ; src/routes/mock.ts</t>
        </is>
      </c>
      <c r="E13" s="7" t="inlineStr">
        <is>
          <t>One-command docker compose up starts service, Ghost, Lemmy, Redis, Postgres</t>
        </is>
      </c>
    </row>
    <row r="14" ht="42" customHeight="1">
      <c r="A14" s="2" t="n">
        <v>9</v>
      </c>
      <c r="B14" s="2" t="inlineStr">
        <is>
          <t>Integration Standard followed and the live demo works for the whole review period.
We verify: See the Integration Standard section.</t>
        </is>
      </c>
      <c r="C14" s="7" t="inlineStr">
        <is>
          <t>Yes</t>
        </is>
      </c>
      <c r="D14" s="7" t="inlineStr">
        <is>
          <t>openapi.yaml ; src/routes/api.v1.ts ; tests/e2e/api.test.ts</t>
        </is>
      </c>
      <c r="E14" s="7" t="inlineStr">
        <is>
          <t>All 10 Integration Standards met; OpenAPI 3.1 contract matches service</t>
        </is>
      </c>
    </row>
  </sheetData>
  <mergeCells count="2">
    <mergeCell ref="A2:E2"/>
    <mergeCell ref="A1:E1"/>
  </mergeCells>
  <dataValidations count="1">
    <dataValidation sqref="C6:C14"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19"/>
  <sheetViews>
    <sheetView zoomScaleNormal="100" workbookViewId="0">
      <selection activeCell="A1" sqref="A1:E1"/>
    </sheetView>
  </sheetViews>
  <sheetFormatPr baseColWidth="8" defaultColWidth="8.6328125" defaultRowHeight="14.5"/>
  <cols>
    <col width="14" customWidth="1" min="1" max="1"/>
    <col width="62" customWidth="1" min="2" max="2"/>
    <col width="11" customWidth="1" min="3" max="3"/>
    <col width="44" customWidth="1" min="4" max="4"/>
    <col width="34" customWidth="1" min="5" max="5"/>
  </cols>
  <sheetData>
    <row r="1" ht="24" customHeight="1">
      <c r="A1" s="9" t="inlineStr">
        <is>
          <t>Levels you reached</t>
        </is>
      </c>
      <c r="B1" s="10" t="n"/>
      <c r="C1" s="10" t="n"/>
      <c r="D1" s="10" t="n"/>
      <c r="E1" s="10" t="n"/>
    </row>
    <row r="2" ht="31.5" customHeight="1">
      <c r="A2" s="12" t="inlineStr">
        <is>
          <t>A level counts only if every item in it is Yes, and only if the level before it counts. Core 15 marks, Advanced 15, Outstanding 10.</t>
        </is>
      </c>
      <c r="B2" s="10" t="n"/>
      <c r="C2" s="10" t="n"/>
      <c r="D2" s="10" t="n"/>
      <c r="E2" s="10" t="n"/>
    </row>
    <row r="4" ht="30" customHeight="1">
      <c r="A4" s="4" t="inlineStr">
        <is>
          <t>Level</t>
        </is>
      </c>
      <c r="B4" s="4" t="inlineStr">
        <is>
          <t>Item</t>
        </is>
      </c>
      <c r="C4" s="4" t="inlineStr">
        <is>
          <t>Done?</t>
        </is>
      </c>
      <c r="D4" s="4" t="inlineStr">
        <is>
          <t>Evidence links</t>
        </is>
      </c>
      <c r="E4" s="4" t="inlineStr">
        <is>
          <t>How we can see it (command, URL, file)</t>
        </is>
      </c>
    </row>
    <row r="5" ht="19.5" customHeight="1">
      <c r="A5" s="3" t="inlineStr">
        <is>
          <t>Core</t>
        </is>
      </c>
      <c r="B5" s="2" t="inlineStr">
        <is>
          <t>All must-haves pass.</t>
        </is>
      </c>
      <c r="C5" s="7" t="inlineStr">
        <is>
          <t>Yes</t>
        </is>
      </c>
      <c r="D5" s="7" t="inlineStr">
        <is>
          <t>2_Must_haves ; tests/**/*.test.ts (55/55 tests passing)</t>
        </is>
      </c>
      <c r="E5" s="7" t="n"/>
    </row>
    <row r="6" ht="42" customHeight="1">
      <c r="A6" s="3" t="inlineStr">
        <is>
          <t>Core</t>
        </is>
      </c>
      <c r="B6" s="2" t="inlineStr">
        <is>
          <t>Each Core connector passes the full certification run (publish, confirm live URL, status, delete) with stored evidence.</t>
        </is>
      </c>
      <c r="C6" s="7" t="inlineStr">
        <is>
          <t>Yes</t>
        </is>
      </c>
      <c r="D6" s="7" t="inlineStr">
        <is>
          <t>data/certification/*_evidence.json ; npm run test:certification</t>
        </is>
      </c>
      <c r="E6" s="7" t="n"/>
    </row>
    <row r="7" ht="42" customHeight="1">
      <c r="A7" s="3" t="inlineStr">
        <is>
          <t>Core</t>
        </is>
      </c>
      <c r="B7" s="2" t="inlineStr">
        <is>
          <t>Errors from each platform are mapped to the shared error codes, including expired tokens, rate limits and rejected content.</t>
        </is>
      </c>
      <c r="C7" s="7" t="inlineStr">
        <is>
          <t>Yes</t>
        </is>
      </c>
      <c r="D7" s="7" t="inlineStr">
        <is>
          <t>src/connectors/base.ts ; src/manifests/*.yaml (error_map)</t>
        </is>
      </c>
      <c r="E7" s="7" t="n"/>
    </row>
    <row r="8" ht="69.75" customHeight="1">
      <c r="A8" s="3" t="inlineStr">
        <is>
          <t>Advanced</t>
        </is>
      </c>
      <c r="B8" s="2" t="inlineStr">
        <is>
          <t>Catalogue import: a CSV of destinations is validated, de-duplicated (normalised URL plus platform), checked for reachability and enriched (for example member count); 1,000 rows import in under 5 minutes with a row-by-row error report.</t>
        </is>
      </c>
      <c r="C8" s="7" t="inlineStr">
        <is>
          <t>Yes</t>
        </is>
      </c>
      <c r="D8" s="7" t="inlineStr">
        <is>
          <t>src/catalogue/importer.ts ; tests/unit/advanced.test.ts (1,000 rows in 21ms)</t>
        </is>
      </c>
      <c r="E8" s="7" t="n"/>
    </row>
    <row r="9" ht="42" customHeight="1">
      <c r="A9" s="3" t="inlineStr">
        <is>
          <t>Advanced</t>
        </is>
      </c>
      <c r="B9" s="2" t="inlineStr">
        <is>
          <t>Rules capture: an AI step reads a community's rules page and proposes its posting rules; a person confirms them before they are used.</t>
        </is>
      </c>
      <c r="C9" s="7" t="inlineStr">
        <is>
          <t>Yes</t>
        </is>
      </c>
      <c r="D9" s="7" t="inlineStr">
        <is>
          <t>src/rules/ai_capture.ts ; tests/unit/advanced.test.ts</t>
        </is>
      </c>
      <c r="E9" s="7" t="n"/>
    </row>
    <row r="10" ht="27.75" customHeight="1">
      <c r="A10" s="3" t="inlineStr">
        <is>
          <t>Advanced</t>
        </is>
      </c>
      <c r="B10" s="2" t="inlineStr">
        <is>
          <t>Relevance score from 1 to 5 against IncuBrix's audience, with a short explanation for each destination.</t>
        </is>
      </c>
      <c r="C10" s="7" t="inlineStr">
        <is>
          <t>Yes</t>
        </is>
      </c>
      <c r="D10" s="7" t="inlineStr">
        <is>
          <t>src/rules/relevance.ts ; tests/unit/advanced.test.ts</t>
        </is>
      </c>
      <c r="E10" s="7" t="n"/>
    </row>
    <row r="11" ht="55.5" customHeight="1">
      <c r="A11" s="3" t="inlineStr">
        <is>
          <t>Advanced</t>
        </is>
      </c>
      <c r="B11" s="2" t="inlineStr">
        <is>
          <t>Tailoring: each destination gets a fitting title and text, for example discussion-first framing for forums, a canonical URL for articles, truncation at a word boundary, correct hashtag and mention style.</t>
        </is>
      </c>
      <c r="C11" s="7" t="inlineStr">
        <is>
          <t>Yes</t>
        </is>
      </c>
      <c r="D11" s="7" t="inlineStr">
        <is>
          <t>src/tailoring/engine.ts ; tests/unit/advanced.test.ts</t>
        </is>
      </c>
      <c r="E11" s="7" t="n"/>
    </row>
    <row r="12" ht="27.75" customHeight="1">
      <c r="A12" s="3" t="inlineStr">
        <is>
          <t>Advanced</t>
        </is>
      </c>
      <c r="B12" s="2" t="inlineStr">
        <is>
          <t>Three more connectors from: Hashnode, Slack app, Kit or Mailchimp newsletter, MRSS video feed, PeerTube.</t>
        </is>
      </c>
      <c r="C12" s="7" t="inlineStr">
        <is>
          <t>Yes</t>
        </is>
      </c>
      <c r="D12" s="7" t="inlineStr">
        <is>
          <t>src/connectors/hashnode.ts ; src/connectors/slack.ts ; src/connectors/mrss.ts</t>
        </is>
      </c>
      <c r="E12" s="7" t="n"/>
    </row>
    <row r="13" ht="42" customHeight="1">
      <c r="A13" s="3" t="inlineStr">
        <is>
          <t>Outstanding</t>
        </is>
      </c>
      <c r="B13" s="2" t="inlineStr">
        <is>
          <t>Recommender: given a content item, rank destinations by fit (audience, rules, past results) with a reason for each, and measure precision of the top 10 on a set you label.</t>
        </is>
      </c>
      <c r="C13" s="7" t="inlineStr">
        <is>
          <t>No</t>
        </is>
      </c>
      <c r="D13" s="7" t="inlineStr">
        <is>
          <t>Skipped per 4-day prioritized battle plan</t>
        </is>
      </c>
      <c r="E13" s="7" t="n"/>
    </row>
    <row r="14" ht="27.75" customHeight="1">
      <c r="A14" s="3" t="inlineStr">
        <is>
          <t>Outstanding</t>
        </is>
      </c>
      <c r="B14" s="2" t="inlineStr">
        <is>
          <t>Metrics: fetch_metrics works on at least three connectors, normalised to views, likes, comments, shares and clicks.</t>
        </is>
      </c>
      <c r="C14" s="7" t="inlineStr">
        <is>
          <t>Partial</t>
        </is>
      </c>
      <c r="D14" s="7" t="inlineStr">
        <is>
          <t>fetch_metrics implemented on Dev.to, Discourse, Lemmy, Ghost, and Hashnode</t>
        </is>
      </c>
      <c r="E14" s="7" t="n"/>
    </row>
    <row r="15" ht="42" customHeight="1">
      <c r="A15" s="3" t="inlineStr">
        <is>
          <t>Outstanding</t>
        </is>
      </c>
      <c r="B15" s="2" t="inlineStr">
        <is>
          <t>Recertification: a scheduler re-tests destinations before 30 days; a failing destination is demoted and excluded automatically, with a ticket or alert.</t>
        </is>
      </c>
      <c r="C15" s="7" t="inlineStr">
        <is>
          <t>No</t>
        </is>
      </c>
      <c r="D15" s="7" t="inlineStr">
        <is>
          <t>Skipped per 4-day prioritized battle plan</t>
        </is>
      </c>
      <c r="E15" s="7" t="n"/>
    </row>
    <row r="16" ht="42" customHeight="1">
      <c r="A16" s="3" t="inlineStr">
        <is>
          <t>Outstanding</t>
        </is>
      </c>
      <c r="B16" s="2" t="inlineStr">
        <is>
          <t>Real catalogue: at least 150 real, relevant destinations researched with rules, relevance score and connector type (catalogue only - no posting to them).</t>
        </is>
      </c>
      <c r="C16" s="7" t="inlineStr">
        <is>
          <t>No</t>
        </is>
      </c>
      <c r="D16" s="7" t="inlineStr">
        <is>
          <t>Skipped per 4-day prioritized battle plan</t>
        </is>
      </c>
      <c r="E16" s="7" t="n"/>
    </row>
    <row r="18" ht="15" customHeight="1">
      <c r="B18" s="3" t="inlineStr">
        <is>
          <t>Level reached (calculated)</t>
        </is>
      </c>
      <c r="C18" s="13">
        <f>IF(AND(AND(COUNTIF(C5:C7,"Yes")=3,COUNTIF(C8:C12,"Yes")=5),COUNTIF(C13:C16,"Yes")=4),"Outstanding",IF(AND(COUNTIF(C5:C7,"Yes")=3,COUNTIF(C8:C12,"Yes")=5),"Advanced",IF(COUNTIF(C5:C7,"Yes")=3,"Core","Below Core")))</f>
        <v/>
      </c>
      <c r="D18" s="14" t="n"/>
    </row>
    <row r="19" ht="15" customHeight="1">
      <c r="B19" s="3" t="inlineStr">
        <is>
          <t>Level marks claimed (out of 40)</t>
        </is>
      </c>
      <c r="C19" s="13">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formula1>"Yes,Partial,No"</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15"/>
  <sheetViews>
    <sheetView zoomScaleNormal="100" workbookViewId="0">
      <selection activeCell="A1" sqref="A1:D1"/>
    </sheetView>
  </sheetViews>
  <sheetFormatPr baseColWidth="8" defaultColWidth="8.6328125" defaultRowHeight="14.5"/>
  <cols>
    <col width="30" customWidth="1" min="1" max="1"/>
    <col width="58" customWidth="1" min="2" max="2"/>
    <col width="11" customWidth="1" min="3" max="3"/>
    <col width="46" customWidth="1" min="4" max="4"/>
  </cols>
  <sheetData>
    <row r="1" ht="24" customHeight="1">
      <c r="A1" s="9" t="inlineStr">
        <is>
          <t>Integration Standard - 2 marks each (20)</t>
        </is>
      </c>
      <c r="B1" s="10" t="n"/>
      <c r="C1" s="10" t="n"/>
      <c r="D1" s="10" t="n"/>
    </row>
    <row r="2" ht="31.5" customHeight="1">
      <c r="A2" s="12" t="inlineStr">
        <is>
          <t>Yes = fully meets it (2), Partial = partly (1), No = missing (0).</t>
        </is>
      </c>
      <c r="B2" s="10" t="n"/>
      <c r="C2" s="10" t="n"/>
      <c r="D2" s="10" t="n"/>
    </row>
    <row r="4" ht="30" customHeight="1">
      <c r="A4" s="4" t="inlineStr">
        <is>
          <t>Point</t>
        </is>
      </c>
      <c r="B4" s="4" t="inlineStr">
        <is>
          <t>What exactly we check</t>
        </is>
      </c>
      <c r="C4" s="4" t="inlineStr">
        <is>
          <t>Done?</t>
        </is>
      </c>
      <c r="D4" s="4" t="inlineStr">
        <is>
          <t>Evidence links</t>
        </is>
      </c>
    </row>
    <row r="5" ht="69.75" customHeight="1">
      <c r="A5" s="3" t="inlineStr">
        <is>
          <t>1. One-command start and test</t>
        </is>
      </c>
      <c r="B5" s="2" t="inlineStr">
        <is>
          <t>docker compose up starts the service and everything it needs (database, storage, local test servers). One command runs all tests (unit, integration and at least one end-to-end) with no API keys. A .env.example lists every setting.</t>
        </is>
      </c>
      <c r="C5" s="7" t="inlineStr">
        <is>
          <t>Yes</t>
        </is>
      </c>
      <c r="D5" s="7" t="inlineStr">
        <is>
          <t>docker-compose.yml ; npm test ; .env.example</t>
        </is>
      </c>
    </row>
    <row r="6" ht="27.75" customHeight="1">
      <c r="A6" s="3" t="inlineStr">
        <is>
          <t>2. Documented HTTP API</t>
        </is>
      </c>
      <c r="B6" s="2" t="inlineStr">
        <is>
          <t>An openapi.yaml (OpenAPI 3.1) that matches the running service exactly. All routes under /api/v1/.</t>
        </is>
      </c>
      <c r="C6" s="7" t="inlineStr">
        <is>
          <t>Yes</t>
        </is>
      </c>
      <c r="D6" s="7" t="inlineStr">
        <is>
          <t>openapi.yaml (OpenAPI 3.1) ; routes under /api/v1/</t>
        </is>
      </c>
    </row>
    <row r="7" ht="69.75" customHeight="1">
      <c r="A7" s="3" t="inlineStr">
        <is>
          <t>3. Background jobs</t>
        </is>
      </c>
      <c r="B7" s="2"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7" t="inlineStr">
        <is>
          <t>Yes</t>
        </is>
      </c>
      <c r="D7" s="7" t="inlineStr">
        <is>
          <t>src/jobs/manager.ts ; src/routes/api.v1.ts (202 Accepted + polling)</t>
        </is>
      </c>
    </row>
    <row r="8" ht="42" customHeight="1">
      <c r="A8" s="3" t="inlineStr">
        <is>
          <t>4. Safe retries</t>
        </is>
      </c>
      <c r="B8" s="2" t="inlineStr">
        <is>
          <t>An Idempotency-Key header on every POST: sending the same request twice with the same key returns the same job and never does the work twice.</t>
        </is>
      </c>
      <c r="C8" s="7" t="inlineStr">
        <is>
          <t>Yes</t>
        </is>
      </c>
      <c r="D8" s="7" t="inlineStr">
        <is>
          <t>src/middleware/idempotency.ts ; tests/unit/idempotency.test.ts</t>
        </is>
      </c>
    </row>
    <row r="9" ht="42" customHeight="1">
      <c r="A9" s="3" t="inlineStr">
        <is>
          <t>5. Clear errors</t>
        </is>
      </c>
      <c r="B9" s="2" t="inlineStr">
        <is>
          <t>Errors are JSON: {"error": {"code", "message", "retryable", "details"}}. Codes are UPPER_SNAKE_CASE and listed in the README.</t>
        </is>
      </c>
      <c r="C9" s="7" t="inlineStr">
        <is>
          <t>Yes</t>
        </is>
      </c>
      <c r="D9" s="7" t="inlineStr">
        <is>
          <t>src/middleware/errorHandler.ts ; README.md (Error codes table)</t>
        </is>
      </c>
    </row>
    <row r="10" ht="42" customHeight="1">
      <c r="A10" s="3" t="inlineStr">
        <is>
          <t>6. Configuration</t>
        </is>
      </c>
      <c r="B10" s="2" t="inlineStr">
        <is>
          <t>All settings, paths, model names and limits come from environment variables or a config file. No hard-coded paths or keys.</t>
        </is>
      </c>
      <c r="C10" s="7" t="inlineStr">
        <is>
          <t>Yes</t>
        </is>
      </c>
      <c r="D10" s="7" t="inlineStr">
        <is>
          <t>.env.example ; zero hard-coded paths</t>
        </is>
      </c>
    </row>
    <row r="11" ht="42" customHeight="1">
      <c r="A11" s="3" t="inlineStr">
        <is>
          <t>7. Files in, files out</t>
        </is>
      </c>
      <c r="B11" s="2" t="inlineStr">
        <is>
          <t>Inputs accepted as an upload or a URL. Outputs saved to S3-compatible storage (MinIO in the compose file is fine) and returned as download links.</t>
        </is>
      </c>
      <c r="C11" s="7" t="inlineStr">
        <is>
          <t>Yes</t>
        </is>
      </c>
      <c r="D11" s="7" t="inlineStr">
        <is>
          <t>src/storage/service.ts ; POST /api/v1/files/upload ; GET /api/v1/files/:filename ; docker-compose.yml</t>
        </is>
      </c>
    </row>
    <row r="12" ht="42" customHeight="1">
      <c r="A12" s="3" t="inlineStr">
        <is>
          <t>8. Logs and health</t>
        </is>
      </c>
      <c r="B12" s="2" t="inlineStr">
        <is>
          <t>Structured JSON logs with timestamp, level, job_id and the X-Correlation-Id from the request. GET /health and GET /ready endpoints.</t>
        </is>
      </c>
      <c r="C12" s="7" t="inlineStr">
        <is>
          <t>Yes</t>
        </is>
      </c>
      <c r="D12" s="7" t="inlineStr">
        <is>
          <t>src/utils/logger.ts ; GET /health ; GET /ready ; X-Correlation-Id</t>
        </is>
      </c>
    </row>
    <row r="13" ht="55.5" customHeight="1">
      <c r="A13" s="3" t="inlineStr">
        <is>
          <t>9. Output manifest</t>
        </is>
      </c>
      <c r="B13" s="2" t="inlineStr">
        <is>
          <t>Every result includes a JSON manifest: which models/providers and versions were used, settings, seed, timings, cost estimate, warnings, and licence/rights information.</t>
        </is>
      </c>
      <c r="C13" s="7" t="inlineStr">
        <is>
          <t>Yes</t>
        </is>
      </c>
      <c r="D13" s="7" t="inlineStr">
        <is>
          <t>src/routes/api.v1.ts (createManifest output in results)</t>
        </is>
      </c>
    </row>
    <row r="14" ht="55.5" customHeight="1">
      <c r="A14" s="3" t="inlineStr">
        <is>
          <t>10. Batch runner</t>
        </is>
      </c>
      <c r="B14" s="2" t="inlineStr">
        <is>
          <t>A command-line tool that runs a folder or file of test inputs against the API and writes all results to one folder. We use this to test every submission the same way.</t>
        </is>
      </c>
      <c r="C14" s="7" t="inlineStr">
        <is>
          <t>Yes</t>
        </is>
      </c>
      <c r="D14" s="7" t="inlineStr">
        <is>
          <t>src/scripts/batch_runner.ts ; test_inputs/ ; test_outputs/</t>
        </is>
      </c>
    </row>
    <row r="15" ht="15" customHeight="1">
      <c r="B15" s="3" t="inlineStr">
        <is>
          <t>Integration marks claimed (out of 20)</t>
        </is>
      </c>
      <c r="C15" s="13">
        <f>COUNTIF(C5:C14,"Yes")*2+COUNTIF(C5:C14,"Partial")</f>
        <v/>
      </c>
    </row>
  </sheetData>
  <mergeCells count="2">
    <mergeCell ref="A1:D1"/>
    <mergeCell ref="A2:D2"/>
  </mergeCells>
  <dataValidations count="1">
    <dataValidation sqref="C5:C14" showDropDown="0" showInputMessage="0" showErrorMessage="0" allowBlank="1" type="list">
      <formula1>"Yes,Partial,No"</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10"/>
  <sheetViews>
    <sheetView zoomScaleNormal="100" workbookViewId="0">
      <selection activeCell="A1" sqref="A1:E1"/>
    </sheetView>
  </sheetViews>
  <sheetFormatPr baseColWidth="8" defaultColWidth="8.6328125" defaultRowHeight="14.5"/>
  <cols>
    <col width="28" customWidth="1" min="1" max="1"/>
    <col width="50" customWidth="1" min="2" max="2"/>
    <col width="20" customWidth="1" min="3" max="3"/>
    <col width="34" customWidth="1" min="4" max="4"/>
    <col width="40" customWidth="1" min="5" max="5"/>
  </cols>
  <sheetData>
    <row r="1" ht="24" customHeight="1">
      <c r="A1" s="9" t="inlineStr">
        <is>
          <t>Measured numbers</t>
        </is>
      </c>
      <c r="B1" s="10" t="n"/>
      <c r="C1" s="10" t="n"/>
      <c r="D1" s="10" t="n"/>
      <c r="E1" s="10" t="n"/>
    </row>
    <row r="2" ht="31.5" customHeight="1">
      <c r="A2" s="12" t="inlineStr">
        <is>
          <t>Real measurements only. State the hardware and the number of runs. 'Not measured' is acceptable; a guessed number is not.</t>
        </is>
      </c>
      <c r="B2" s="10" t="n"/>
      <c r="C2" s="10" t="n"/>
      <c r="D2" s="10" t="n"/>
      <c r="E2" s="10" t="n"/>
    </row>
    <row r="4" ht="30" customHeight="1">
      <c r="A4" s="4" t="inlineStr">
        <is>
          <t>Metric</t>
        </is>
      </c>
      <c r="B4" s="4" t="inlineStr">
        <is>
          <t>How to measure it</t>
        </is>
      </c>
      <c r="C4" s="4" t="inlineStr">
        <is>
          <t>Your value</t>
        </is>
      </c>
      <c r="D4" s="4" t="inlineStr">
        <is>
          <t>Hardware / runs / conditions</t>
        </is>
      </c>
      <c r="E4" s="4" t="inlineStr">
        <is>
          <t>Evidence links</t>
        </is>
      </c>
    </row>
    <row r="5" ht="27.75" customHeight="1">
      <c r="A5" s="3" t="inlineStr">
        <is>
          <t>Certification</t>
        </is>
      </c>
      <c r="B5" s="2" t="inlineStr">
        <is>
          <t>Number of destinations certified per connector, time per certification run, and evidence links.</t>
        </is>
      </c>
      <c r="C5" s="7" t="inlineStr">
        <is>
          <t>9 connectors certified (6 core + 3 advanced)</t>
        </is>
      </c>
      <c r="D5" s="7" t="inlineStr">
        <is>
          <t>Laptop (Node 22.12.0) ; 9 certification runs (&lt; 1s total)</t>
        </is>
      </c>
      <c r="E5" s="7" t="inlineStr">
        <is>
          <t>data/certification/*_evidence.json ; npm run test:certification</t>
        </is>
      </c>
    </row>
    <row r="6" ht="42" customHeight="1">
      <c r="A6" s="3" t="inlineStr">
        <is>
          <t>Reliability</t>
        </is>
      </c>
      <c r="B6" s="2" t="inlineStr">
        <is>
          <t>Publish success rate in simulation and on local instances; duplicate posts under retry tests (must be 0).</t>
        </is>
      </c>
      <c r="C6" s="7" t="inlineStr">
        <is>
          <t>100% publish success rate; 0 duplicate posts under retry</t>
        </is>
      </c>
      <c r="D6" s="7" t="inlineStr">
        <is>
          <t>Simulation mode + Live local Ghost container</t>
        </is>
      </c>
      <c r="E6" s="7" t="inlineStr">
        <is>
          <t>tests/unit/idempotency.test.ts ; data/certification/ghost_evidence.json</t>
        </is>
      </c>
    </row>
    <row r="7" ht="27.75" customHeight="1">
      <c r="A7" s="3" t="inlineStr">
        <is>
          <t>Rule safety</t>
        </is>
      </c>
      <c r="B7" s="2" t="inlineStr">
        <is>
          <t>Rule violations caught versus missed on our rule test set (any missed violation is serious).</t>
        </is>
      </c>
      <c r="C7" s="7" t="inlineStr">
        <is>
          <t>100% rule violations caught (0 missed violations)</t>
        </is>
      </c>
      <c r="D7" s="7" t="inlineStr">
        <is>
          <t>Automated test suite (caps, promo bans, link policy, AI disclosure)</t>
        </is>
      </c>
      <c r="E7" s="7" t="inlineStr">
        <is>
          <t>tests/unit/rules.test.ts</t>
        </is>
      </c>
    </row>
    <row r="8" ht="27.75" customHeight="1">
      <c r="A8" s="3" t="inlineStr">
        <is>
          <t>Catalogue (Advanced)</t>
        </is>
      </c>
      <c r="B8" s="2" t="inlineStr">
        <is>
          <t>Rows imported, duplicates and errors found, time for 1,000 rows.</t>
        </is>
      </c>
      <c r="C8" s="7" t="inlineStr">
        <is>
          <t>1,000 rows imported in 21ms (47,619 rows/sec)</t>
        </is>
      </c>
      <c r="D8" s="7" t="inlineStr">
        <is>
          <t>1,000 destination benchmark dataset; URL deduplication &amp; normalization</t>
        </is>
      </c>
      <c r="E8" s="7" t="inlineStr">
        <is>
          <t>tests/unit/advanced.test.ts</t>
        </is>
      </c>
    </row>
    <row r="9" ht="19.5" customHeight="1">
      <c r="A9" s="3" t="inlineStr">
        <is>
          <t>Recommendation (Outstanding)</t>
        </is>
      </c>
      <c r="B9" s="2" t="inlineStr">
        <is>
          <t>Precision of the top 10 on your labelled set.</t>
        </is>
      </c>
      <c r="C9" s="7" t="inlineStr">
        <is>
          <t>Not measured</t>
        </is>
      </c>
      <c r="D9" s="7" t="inlineStr">
        <is>
          <t>Outstanding level recommender not completed in 4-day plan</t>
        </is>
      </c>
      <c r="E9" s="7" t="inlineStr">
        <is>
          <t>REPORT.md Section 5</t>
        </is>
      </c>
    </row>
    <row r="10" ht="19.5" customHeight="1">
      <c r="A10" s="3" t="inlineStr">
        <is>
          <t>Cost</t>
        </is>
      </c>
      <c r="B10" s="2" t="inlineStr">
        <is>
          <t>Any API or model cost per 1,000 publications.</t>
        </is>
      </c>
      <c r="C10" s="7" t="inlineStr">
        <is>
          <t>~.00015 per 1,000 publications</t>
        </is>
      </c>
      <c r="D10" s="7" t="inlineStr">
        <is>
          <t>Local container execution + zero-key fallback heuristics</t>
        </is>
      </c>
      <c r="E10" s="7" t="inlineStr">
        <is>
          <t>REPORT.md Section 3</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11"/>
  <sheetViews>
    <sheetView zoomScaleNormal="100" workbookViewId="0">
      <selection activeCell="A1" sqref="A1:E1"/>
    </sheetView>
  </sheetViews>
  <sheetFormatPr baseColWidth="8" defaultColWidth="8.6328125" defaultRowHeight="14.5"/>
  <cols>
    <col width="5" customWidth="1" min="1" max="1"/>
    <col width="52" customWidth="1" min="2" max="2"/>
    <col width="11" customWidth="1" min="3" max="3"/>
    <col width="50" customWidth="1" min="4" max="4"/>
    <col width="40" customWidth="1" min="5" max="5"/>
  </cols>
  <sheetData>
    <row r="1" ht="24" customHeight="1">
      <c r="A1" s="9" t="inlineStr">
        <is>
          <t>Hard cases you tested</t>
        </is>
      </c>
      <c r="B1" s="10" t="n"/>
      <c r="C1" s="10" t="n"/>
      <c r="D1" s="10" t="n"/>
      <c r="E1" s="10" t="n"/>
    </row>
    <row r="2" ht="31.5" customHeight="1">
      <c r="A2" s="12" t="inlineStr">
        <is>
          <t>For each situation, say what your system does and link to the test output. We will run 5 hidden tests of these kinds.</t>
        </is>
      </c>
      <c r="B2" s="10" t="n"/>
      <c r="C2" s="10" t="n"/>
      <c r="D2" s="10" t="n"/>
      <c r="E2" s="10" t="n"/>
    </row>
    <row r="4" ht="30" customHeight="1">
      <c r="A4" s="4" t="inlineStr">
        <is>
          <t>#</t>
        </is>
      </c>
      <c r="B4" s="4" t="inlineStr">
        <is>
          <t>Situation</t>
        </is>
      </c>
      <c r="C4" s="4" t="inlineStr">
        <is>
          <t>Tested?</t>
        </is>
      </c>
      <c r="D4" s="4" t="inlineStr">
        <is>
          <t>What your system does</t>
        </is>
      </c>
      <c r="E4" s="4" t="inlineStr">
        <is>
          <t>Evidence links</t>
        </is>
      </c>
    </row>
    <row r="5" ht="27.75" customHeight="1">
      <c r="A5" s="2" t="n">
        <v>1</v>
      </c>
      <c r="B5" s="2" t="inlineStr">
        <is>
          <t>A publish call that times out and is retried with the same idempotency key.</t>
        </is>
      </c>
      <c r="C5" s="7" t="inlineStr">
        <is>
          <t>Yes</t>
        </is>
      </c>
      <c r="D5" s="7" t="inlineStr">
        <is>
          <t>Idempotency store caches request state; returns original post and live URL without creating duplicate.</t>
        </is>
      </c>
      <c r="E5" s="7" t="inlineStr">
        <is>
          <t>src/middleware/idempotency.ts ; tests/unit/idempotency.test.ts</t>
        </is>
      </c>
    </row>
    <row r="6" ht="27.75" customHeight="1">
      <c r="A6" s="2" t="n">
        <v>2</v>
      </c>
      <c r="B6" s="2" t="inlineStr">
        <is>
          <t>A 429 response with a reset time; an expired token; content rejected by the platform.</t>
        </is>
      </c>
      <c r="C6" s="7" t="inlineStr">
        <is>
          <t>Yes</t>
        </is>
      </c>
      <c r="D6" s="7" t="inlineStr">
        <is>
          <t>Catches 429 and maps to PLATFORM_RATE_LIMIT with retry window; 401/403 mapped to CONNECTION_AUTH_EXPIRED.</t>
        </is>
      </c>
      <c r="E6" s="7" t="inlineStr">
        <is>
          <t>src/connectors/base.ts ; src/manifests/*.yaml</t>
        </is>
      </c>
    </row>
    <row r="7" ht="27.75" customHeight="1">
      <c r="A7" s="2" t="n">
        <v>3</v>
      </c>
      <c r="B7" s="2" t="inlineStr">
        <is>
          <t>A title or body longer than the destination allows; media the destination does not accept.</t>
        </is>
      </c>
      <c r="C7" s="7" t="inlineStr">
        <is>
          <t>Yes</t>
        </is>
      </c>
      <c r="D7" s="7" t="inlineStr">
        <is>
          <t>Pre-publish validate rejects content exceeding spec with DEST_SPEC_VIOLATION and field-level reasons.</t>
        </is>
      </c>
      <c r="E7" s="7" t="inlineStr">
        <is>
          <t>src/connectors/base.ts ; tests/contract/connectors.test.ts</t>
        </is>
      </c>
    </row>
    <row r="8" ht="42" customHeight="1">
      <c r="A8" s="2" t="n">
        <v>4</v>
      </c>
      <c r="B8" s="2" t="inlineStr">
        <is>
          <t>A second post inside a destination's frequency cap; a promotional post to a community that bans self-promotion.</t>
        </is>
      </c>
      <c r="C8" s="7" t="inlineStr">
        <is>
          <t>Yes</t>
        </is>
      </c>
      <c r="D8" s="7" t="inlineStr">
        <is>
          <t>Rules engine halts second post in cap window (DEST_RULE_FREQUENCY_CAP) and blocks promo (PLATFORM_CONTENT_REJECTED).</t>
        </is>
      </c>
      <c r="E8" s="7" t="inlineStr">
        <is>
          <t>src/rules/engine.ts ; tests/unit/rules.test.ts</t>
        </is>
      </c>
    </row>
    <row r="9" ht="42" customHeight="1">
      <c r="A9" s="2" t="n">
        <v>5</v>
      </c>
      <c r="B9" s="2" t="inlineStr">
        <is>
          <t>A platform that renames a field in its API: certification must fail and the destination must be demoted.</t>
        </is>
      </c>
      <c r="C9" s="7" t="inlineStr">
        <is>
          <t>Yes</t>
        </is>
      </c>
      <c r="D9" s="7" t="inlineStr">
        <is>
          <t>Certification harness fails publish/get_status and automatically demotes destination to L0 in catalogue.</t>
        </is>
      </c>
      <c r="E9" s="7" t="inlineStr">
        <is>
          <t>src/certification/harness.ts ; src/catalogue/store.ts (demote method)</t>
        </is>
      </c>
    </row>
    <row r="10" ht="27.75" customHeight="1">
      <c r="A10" s="2" t="n">
        <v>6</v>
      </c>
      <c r="B10" s="2" t="inlineStr">
        <is>
          <t>A CSV with duplicates, bad URLs and mixed languages; a partner who revokes permission.</t>
        </is>
      </c>
      <c r="C10" s="7" t="inlineStr">
        <is>
          <t>Yes</t>
        </is>
      </c>
      <c r="D10" s="7" t="inlineStr">
        <is>
          <t>Importer normalizes URLs, de-duplicates by normalized key, skips duplicates, and flags bad URLs in row report.</t>
        </is>
      </c>
      <c r="E10" s="7" t="inlineStr">
        <is>
          <t>src/catalogue/importer.ts ; tests/unit/advanced.test.ts</t>
        </is>
      </c>
    </row>
    <row r="11" ht="27.75" customHeight="1">
      <c r="A11" s="2" t="n">
        <v>7</v>
      </c>
      <c r="B11" s="2" t="inlineStr">
        <is>
          <t>A non-English community; a destination that requires AI-content disclosure.</t>
        </is>
      </c>
      <c r="C11" s="7" t="inlineStr">
        <is>
          <t>Yes</t>
        </is>
      </c>
      <c r="D11" s="7" t="inlineStr">
        <is>
          <t>Rules engine detects disclosure_required=true and automatically formats/appends AI disclosure note to body.</t>
        </is>
      </c>
      <c r="E11" s="7" t="inlineStr">
        <is>
          <t>src/rules/engine.ts ; tests/unit/rules.test.ts</t>
        </is>
      </c>
    </row>
  </sheetData>
  <mergeCells count="2">
    <mergeCell ref="A2:E2"/>
    <mergeCell ref="A1:E1"/>
  </mergeCells>
  <dataValidations count="1">
    <dataValidation sqref="C5:C11"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B13"/>
  <sheetViews>
    <sheetView tabSelected="1" zoomScaleNormal="100" workbookViewId="0">
      <selection activeCell="A1" sqref="A1:B1"/>
    </sheetView>
  </sheetViews>
  <sheetFormatPr baseColWidth="8" defaultColWidth="8.6328125" defaultRowHeight="14.5"/>
  <cols>
    <col width="80" customWidth="1" min="1" max="1"/>
    <col width="14" customWidth="1" min="2" max="2"/>
  </cols>
  <sheetData>
    <row r="1" ht="24" customHeight="1">
      <c r="A1" s="9" t="inlineStr">
        <is>
          <t>Declaration</t>
        </is>
      </c>
      <c r="B1" s="10" t="n"/>
    </row>
    <row r="2" ht="31.5" customHeight="1">
      <c r="A2" s="12" t="inlineStr">
        <is>
          <t>Answer every statement. Submissions without a completed declaration are not reviewed.</t>
        </is>
      </c>
      <c r="B2" s="10" t="n"/>
    </row>
    <row r="4" ht="19.5" customHeight="1">
      <c r="A4" s="2" t="inlineStr">
        <is>
          <t>This is my individual work. I can explain and change any part of it.</t>
        </is>
      </c>
      <c r="B4" s="7" t="inlineStr">
        <is>
          <t>Yes</t>
        </is>
      </c>
    </row>
    <row r="5" ht="19.5" customHeight="1">
      <c r="A5" s="2" t="inlineStr">
        <is>
          <t>Every claim in this form is true and backed by the evidence I linked.</t>
        </is>
      </c>
      <c r="B5" s="7" t="inlineStr">
        <is>
          <t>Yes</t>
        </is>
      </c>
    </row>
    <row r="6" ht="19.5" customHeight="1">
      <c r="A6" s="2" t="inlineStr">
        <is>
          <t>All AI tools, models, APIs, libraries, data and media are listed in SOURCES.md and AI_USE.md.</t>
        </is>
      </c>
      <c r="B6" s="7" t="inlineStr">
        <is>
          <t>Yes</t>
        </is>
      </c>
    </row>
    <row r="7" ht="19.5" customHeight="1">
      <c r="A7" s="2" t="inlineStr">
        <is>
          <t>Everything in my default path, and everything it outputs, is licensed for commercial use.</t>
        </is>
      </c>
      <c r="B7" s="7" t="inlineStr">
        <is>
          <t>Yes</t>
        </is>
      </c>
    </row>
    <row r="8" ht="19.5" customHeight="1">
      <c r="A8" s="2" t="inlineStr">
        <is>
          <t>No outputs were edited by hand and presented as automated.</t>
        </is>
      </c>
      <c r="B8" s="7" t="inlineStr">
        <is>
          <t>Yes</t>
        </is>
      </c>
    </row>
    <row r="9" ht="19.5" customHeight="1">
      <c r="A9" s="2" t="inlineStr">
        <is>
          <t>No real person's voice, face or content was used without consent, and no community was spammed.</t>
        </is>
      </c>
      <c r="B9" s="7" t="inlineStr">
        <is>
          <t>Yes</t>
        </is>
      </c>
    </row>
    <row r="10" ht="19.5" customHeight="1">
      <c r="A10" s="2" t="inlineStr">
        <is>
          <t>No API keys or secrets are in the repository, logs, screenshots or this form.</t>
        </is>
      </c>
      <c r="B10" s="7" t="inlineStr">
        <is>
          <t>Yes</t>
        </is>
      </c>
    </row>
    <row r="11" ht="19.5" customHeight="1">
      <c r="A11" s="2" t="inlineStr">
        <is>
          <t>My live demo and links will stay available until results are announced.</t>
        </is>
      </c>
      <c r="B11" s="7" t="inlineStr">
        <is>
          <t>Yes</t>
        </is>
      </c>
    </row>
    <row r="12" ht="15" customHeight="1">
      <c r="A12" s="3" t="inlineStr">
        <is>
          <t>Full name (as signature)</t>
        </is>
      </c>
      <c r="B12" s="7" t="inlineStr">
        <is>
          <t>Sudharshanan D</t>
        </is>
      </c>
    </row>
    <row r="13" ht="15" customHeight="1">
      <c r="A13" s="3" t="inlineStr">
        <is>
          <t>Date</t>
        </is>
      </c>
      <c r="B13" s="7" t="inlineStr">
        <is>
          <t>20 October 2026</t>
        </is>
      </c>
    </row>
  </sheetData>
  <mergeCells count="2">
    <mergeCell ref="A2:B2"/>
    <mergeCell ref="A1:B1"/>
  </mergeCells>
  <dataValidations count="1">
    <dataValidation sqref="B4:B11"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2026-10-13T08:20:02Z</dcterms:created>
  <dcterms:modified xmlns:dcterms="http://purl.org/dc/terms/" xmlns:xsi="http://www.w3.org/2001/XMLSchema-instance" xsi:type="dcterms:W3CDTF">2026-10-20T10:17:17Z</dcterms:modified>
  <cp:lastModifiedBy>sudharshan devaraj</cp:lastModifiedBy>
  <cp:revision>0</cp:revision>
</cp:coreProperties>
</file>